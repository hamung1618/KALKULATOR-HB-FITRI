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 T470S\OneDrive\Desktop\"/>
    </mc:Choice>
  </mc:AlternateContent>
  <xr:revisionPtr revIDLastSave="0" documentId="8_{06453388-A2E5-4647-9D0B-DCA437AED082}" xr6:coauthVersionLast="47" xr6:coauthVersionMax="47" xr10:uidLastSave="{00000000-0000-0000-0000-000000000000}"/>
  <bookViews>
    <workbookView xWindow="5700" yWindow="105" windowWidth="13935" windowHeight="10725" tabRatio="500" xr2:uid="{00000000-000D-0000-FFFF-FFFF00000000}"/>
  </bookViews>
  <sheets>
    <sheet name="Harga Bel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7" i="1" l="1"/>
  <c r="G16" i="1"/>
  <c r="G15" i="1"/>
  <c r="G14" i="1"/>
  <c r="G13" i="1"/>
  <c r="G17" i="1" s="1"/>
  <c r="G19" i="1" l="1"/>
  <c r="G21" i="1" s="1"/>
  <c r="H16" i="1"/>
  <c r="H15" i="1"/>
  <c r="H14" i="1"/>
  <c r="H13" i="1"/>
  <c r="H17" i="1" l="1"/>
  <c r="I13" i="1"/>
  <c r="J13" i="1"/>
  <c r="I15" i="1"/>
  <c r="K15" i="1" s="1"/>
  <c r="L15" i="1" s="1"/>
  <c r="M15" i="1" s="1"/>
  <c r="N15" i="1" s="1"/>
  <c r="J15" i="1"/>
  <c r="I14" i="1"/>
  <c r="J14" i="1"/>
  <c r="I16" i="1"/>
  <c r="K16" i="1" s="1"/>
  <c r="L16" i="1" s="1"/>
  <c r="M16" i="1" s="1"/>
  <c r="N16" i="1" s="1"/>
  <c r="J16" i="1"/>
  <c r="J17" i="1" l="1"/>
  <c r="K14" i="1"/>
  <c r="L14" i="1" s="1"/>
  <c r="M14" i="1" s="1"/>
  <c r="N14" i="1" s="1"/>
  <c r="K13" i="1"/>
  <c r="I17" i="1"/>
  <c r="K17" i="1" l="1"/>
  <c r="L13" i="1"/>
  <c r="L17" i="1" l="1"/>
  <c r="M13" i="1"/>
  <c r="N13" i="1" s="1"/>
</calcChain>
</file>

<file path=xl/sharedStrings.xml><?xml version="1.0" encoding="utf-8"?>
<sst xmlns="http://schemas.openxmlformats.org/spreadsheetml/2006/main" count="45" uniqueCount="45">
  <si>
    <t>PERHITUNGAN HARGA BELI SETELAH DISKON</t>
  </si>
  <si>
    <t>Supplier</t>
  </si>
  <si>
    <t>PT. Fokus Ritel Indoprima</t>
  </si>
  <si>
    <t>Customer</t>
  </si>
  <si>
    <t>Gajah Mas. CV - Kebumen</t>
  </si>
  <si>
    <t>No. Invoice</t>
  </si>
  <si>
    <t>IIF20260402426</t>
  </si>
  <si>
    <t>Tanggal Invoice</t>
  </si>
  <si>
    <t>20/04/2026</t>
  </si>
  <si>
    <t>TOP / Jatuh Tempo</t>
  </si>
  <si>
    <t>Diskon 1 (Rp)</t>
  </si>
  <si>
    <t>&lt;- sel kuning/huruf biru = isi manual (diskon sesuai invoice)</t>
  </si>
  <si>
    <t>Diskon 2 (Rp)</t>
  </si>
  <si>
    <t>No</t>
  </si>
  <si>
    <t>Kode Barang</t>
  </si>
  <si>
    <t>Deskripsi</t>
  </si>
  <si>
    <t>Qty (Boks)</t>
  </si>
  <si>
    <t>Isi per Boks (pcs)</t>
  </si>
  <si>
    <t>Harga/Boks (Rp)</t>
  </si>
  <si>
    <t>Jumlah (Rp)</t>
  </si>
  <si>
    <t>Porsi dari Total</t>
  </si>
  <si>
    <t>Alokasi Diskon 1</t>
  </si>
  <si>
    <t>Alokasi Diskon 2</t>
  </si>
  <si>
    <t>Total Diskon</t>
  </si>
  <si>
    <t>Jumlah Setelah Diskon</t>
  </si>
  <si>
    <t>HARGA BELI/BOKS Setelah Diskon</t>
  </si>
  <si>
    <t>Harga Beli/pcs Setelah Diskon</t>
  </si>
  <si>
    <t>010506000</t>
  </si>
  <si>
    <t>FITRI Botol 24x200Ml</t>
  </si>
  <si>
    <t>010508003</t>
  </si>
  <si>
    <t>FITRI Botol Regular New x 12</t>
  </si>
  <si>
    <t>010508303</t>
  </si>
  <si>
    <t>Minyak Goreng Fitri Botol kecil x12</t>
  </si>
  <si>
    <t>020701200</t>
  </si>
  <si>
    <t>Margarina FORVITA 60x200G</t>
  </si>
  <si>
    <t>TOTAL</t>
  </si>
  <si>
    <t>Total invoice setelah diskon (hitungan)</t>
  </si>
  <si>
    <t>Total tertera di invoice (isi manual)</t>
  </si>
  <si>
    <t>Selisih (cek)</t>
  </si>
  <si>
    <t>CATATAN:</t>
  </si>
  <si>
    <t>1. Diskon dibagi ke tiap barang secara proporsional terhadap nilai (Jumlah) masing-masing barang.</t>
  </si>
  <si>
    <t>2. Harga pada invoice diasumsikan sudah termasuk PPN (tertulis 'TOTAL INCLUDE PPN'), jadi tidak ditambah PPN lagi.</t>
  </si>
  <si>
    <t>3. Isi per boks (24, 12, 12, 60) diambil dari nama barang di invoice; ubah jika berbeda.</t>
  </si>
  <si>
    <t>4. Angka total di invoice kurang jelas terbaca di foto, silakan isi manual di sel kuning untuk pengecekan.</t>
  </si>
  <si>
    <t>5. Cara pakai ulang: ganti kode, deskripsi, qty, isi, harga (huruf biru) dan diskon; kolom lain otomatis. Tambah baris dengan menyisipkan baris di antara data lalu salin rumusnya.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</si>
</sst>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#,##0.00;\(#,##0.00\);\-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i/>
      <sz val="10"/>
      <color rgb="FF666666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444444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2" borderId="0" xfId="0" applyNumberFormat="1" applyFont="1" applyFill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3" fillId="0" borderId="1" xfId="0" applyFont="1" applyBorder="1"/>
    <xf numFmtId="164" fontId="3" fillId="0" borderId="1" xfId="0" applyNumberFormat="1" applyFont="1" applyBorder="1"/>
    <xf numFmtId="164" fontId="6" fillId="0" borderId="1" xfId="0" applyNumberFormat="1" applyFont="1" applyBorder="1"/>
    <xf numFmtId="10" fontId="6" fillId="0" borderId="1" xfId="0" applyNumberFormat="1" applyFont="1" applyBorder="1"/>
    <xf numFmtId="165" fontId="6" fillId="0" borderId="1" xfId="0" applyNumberFormat="1" applyFont="1" applyBorder="1"/>
    <xf numFmtId="165" fontId="2" fillId="4" borderId="1" xfId="0" applyNumberFormat="1" applyFont="1" applyFill="1" applyBorder="1"/>
    <xf numFmtId="0" fontId="2" fillId="4" borderId="1" xfId="0" applyFont="1" applyFill="1" applyBorder="1"/>
    <xf numFmtId="164" fontId="2" fillId="4" borderId="1" xfId="0" applyNumberFormat="1" applyFont="1" applyFill="1" applyBorder="1"/>
    <xf numFmtId="10" fontId="2" fillId="4" borderId="1" xfId="0" applyNumberFormat="1" applyFont="1" applyFill="1" applyBorder="1"/>
    <xf numFmtId="165" fontId="6" fillId="0" borderId="0" xfId="0" applyNumberFormat="1" applyFont="1"/>
    <xf numFmtId="165" fontId="3" fillId="2" borderId="0" xfId="0" applyNumberFormat="1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zoomScaleNormal="100" workbookViewId="0">
      <pane xSplit="3" ySplit="12" topLeftCell="J13" activePane="bottomRight" state="frozen"/>
      <selection pane="topRight" activeCell="D1" sqref="D1"/>
      <selection pane="bottomLeft" activeCell="A13" sqref="A13"/>
      <selection pane="bottomRight" activeCell="M15" sqref="M15"/>
    </sheetView>
  </sheetViews>
  <sheetFormatPr defaultColWidth="8.7109375" defaultRowHeight="15" x14ac:dyDescent="0.25"/>
  <cols>
    <col min="1" max="1" width="5" customWidth="1"/>
    <col min="2" max="2" width="13" customWidth="1"/>
    <col min="3" max="3" width="36" customWidth="1"/>
    <col min="4" max="5" width="12" customWidth="1"/>
    <col min="6" max="6" width="15" customWidth="1"/>
    <col min="7" max="7" width="17" customWidth="1"/>
    <col min="8" max="8" width="11" customWidth="1"/>
    <col min="9" max="10" width="15" customWidth="1"/>
    <col min="11" max="11" width="14" customWidth="1"/>
    <col min="12" max="12" width="18" customWidth="1"/>
    <col min="13" max="13" width="20" customWidth="1"/>
    <col min="14" max="14" width="18" customWidth="1"/>
  </cols>
  <sheetData>
    <row r="1" spans="1:14" ht="17.25" customHeight="1" x14ac:dyDescent="0.25">
      <c r="A1" s="1" t="s">
        <v>0</v>
      </c>
    </row>
    <row r="3" spans="1:14" ht="15" customHeight="1" x14ac:dyDescent="0.25">
      <c r="A3" s="2" t="s">
        <v>1</v>
      </c>
      <c r="C3" s="3" t="s">
        <v>2</v>
      </c>
    </row>
    <row r="4" spans="1:14" ht="15" customHeight="1" x14ac:dyDescent="0.25">
      <c r="A4" s="2" t="s">
        <v>3</v>
      </c>
      <c r="C4" s="3" t="s">
        <v>4</v>
      </c>
    </row>
    <row r="5" spans="1:14" ht="15" customHeight="1" x14ac:dyDescent="0.25">
      <c r="A5" s="2" t="s">
        <v>5</v>
      </c>
      <c r="C5" s="3" t="s">
        <v>6</v>
      </c>
    </row>
    <row r="6" spans="1:14" ht="15" customHeight="1" x14ac:dyDescent="0.25">
      <c r="A6" s="2" t="s">
        <v>7</v>
      </c>
      <c r="C6" s="3" t="s">
        <v>8</v>
      </c>
    </row>
    <row r="7" spans="1:14" ht="15" customHeight="1" x14ac:dyDescent="0.25">
      <c r="A7" s="2" t="s">
        <v>9</v>
      </c>
      <c r="C7" s="3"/>
    </row>
    <row r="9" spans="1:14" ht="15" customHeight="1" x14ac:dyDescent="0.25">
      <c r="A9" s="2" t="s">
        <v>10</v>
      </c>
      <c r="C9" s="4">
        <v>599929</v>
      </c>
      <c r="E9" s="5" t="s">
        <v>11</v>
      </c>
    </row>
    <row r="10" spans="1:14" ht="15" customHeight="1" x14ac:dyDescent="0.25">
      <c r="A10" s="2" t="s">
        <v>12</v>
      </c>
      <c r="C10" s="4">
        <v>8250000</v>
      </c>
    </row>
    <row r="12" spans="1:14" ht="45" customHeight="1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 t="s">
        <v>17</v>
      </c>
      <c r="F12" s="6" t="s">
        <v>18</v>
      </c>
      <c r="G12" s="6" t="s">
        <v>19</v>
      </c>
      <c r="H12" s="6" t="s">
        <v>20</v>
      </c>
      <c r="I12" s="6" t="s">
        <v>21</v>
      </c>
      <c r="J12" s="6" t="s">
        <v>22</v>
      </c>
      <c r="K12" s="6" t="s">
        <v>23</v>
      </c>
      <c r="L12" s="6" t="s">
        <v>24</v>
      </c>
      <c r="M12" s="6" t="s">
        <v>25</v>
      </c>
      <c r="N12" s="6" t="s">
        <v>26</v>
      </c>
    </row>
    <row r="13" spans="1:14" ht="15" customHeight="1" x14ac:dyDescent="0.25">
      <c r="A13" s="7">
        <v>1</v>
      </c>
      <c r="B13" s="8" t="s">
        <v>27</v>
      </c>
      <c r="C13" s="8" t="s">
        <v>28</v>
      </c>
      <c r="D13" s="9">
        <v>500</v>
      </c>
      <c r="E13" s="9">
        <v>24</v>
      </c>
      <c r="F13" s="9">
        <v>113000</v>
      </c>
      <c r="G13" s="10">
        <f>D13*F13</f>
        <v>56500000</v>
      </c>
      <c r="H13" s="11">
        <f>IF($G$17=0,0,G13/$G$17)</f>
        <v>9.9450295094548183E-2</v>
      </c>
      <c r="I13" s="12">
        <f>H13*$C$9</f>
        <v>59663.116085777197</v>
      </c>
      <c r="J13" s="12">
        <f>H13*$C$10</f>
        <v>820464.93453002255</v>
      </c>
      <c r="K13" s="10">
        <f>I13+J13</f>
        <v>880128.05061579973</v>
      </c>
      <c r="L13" s="10">
        <f>G13-K13</f>
        <v>55619871.949384198</v>
      </c>
      <c r="M13" s="13">
        <f t="shared" ref="M13:N16" si="0">IF(D13=0,0,L13/D13)</f>
        <v>111239.7438987684</v>
      </c>
      <c r="N13" s="12">
        <f t="shared" si="0"/>
        <v>4634.9893291153503</v>
      </c>
    </row>
    <row r="14" spans="1:14" ht="15" customHeight="1" x14ac:dyDescent="0.25">
      <c r="A14" s="7">
        <v>2</v>
      </c>
      <c r="B14" s="8" t="s">
        <v>29</v>
      </c>
      <c r="C14" s="8" t="s">
        <v>30</v>
      </c>
      <c r="D14" s="9">
        <v>1900</v>
      </c>
      <c r="E14" s="9">
        <v>12</v>
      </c>
      <c r="F14" s="9">
        <v>208800</v>
      </c>
      <c r="G14" s="10">
        <f>D14*F14</f>
        <v>396720000</v>
      </c>
      <c r="H14" s="11">
        <f>IF($G$17=0,0,G14/$G$17)</f>
        <v>0.6982994879629939</v>
      </c>
      <c r="I14" s="12">
        <f>H14*$C$9</f>
        <v>418930.11351415096</v>
      </c>
      <c r="J14" s="12">
        <f>H14*$C$10</f>
        <v>5760970.7756947</v>
      </c>
      <c r="K14" s="10">
        <f>I14+J14</f>
        <v>6179900.8892088514</v>
      </c>
      <c r="L14" s="10">
        <f>G14-K14</f>
        <v>390540099.11079115</v>
      </c>
      <c r="M14" s="13">
        <f t="shared" si="0"/>
        <v>205547.42058462693</v>
      </c>
      <c r="N14" s="12">
        <f t="shared" si="0"/>
        <v>17128.951715385578</v>
      </c>
    </row>
    <row r="15" spans="1:14" ht="15" customHeight="1" x14ac:dyDescent="0.25">
      <c r="A15" s="7">
        <v>3</v>
      </c>
      <c r="B15" s="8" t="s">
        <v>31</v>
      </c>
      <c r="C15" s="8" t="s">
        <v>32</v>
      </c>
      <c r="D15" s="9">
        <v>900</v>
      </c>
      <c r="E15" s="9">
        <v>12</v>
      </c>
      <c r="F15" s="9">
        <v>110000</v>
      </c>
      <c r="G15" s="10">
        <f>D15*F15</f>
        <v>99000000</v>
      </c>
      <c r="H15" s="11">
        <f>IF($G$17=0,0,G15/$G$17)</f>
        <v>0.17425803919221719</v>
      </c>
      <c r="I15" s="12">
        <f>H15*$C$9</f>
        <v>104542.45119454767</v>
      </c>
      <c r="J15" s="12">
        <f>H15*$C$10</f>
        <v>1437628.8233357917</v>
      </c>
      <c r="K15" s="10">
        <f>I15+J15</f>
        <v>1542171.2745303393</v>
      </c>
      <c r="L15" s="10">
        <f>G15-K15</f>
        <v>97457828.725469664</v>
      </c>
      <c r="M15" s="13">
        <f t="shared" si="0"/>
        <v>108286.47636163296</v>
      </c>
      <c r="N15" s="12">
        <f t="shared" si="0"/>
        <v>9023.8730301360793</v>
      </c>
    </row>
    <row r="16" spans="1:14" ht="15" customHeight="1" x14ac:dyDescent="0.25">
      <c r="A16" s="7">
        <v>4</v>
      </c>
      <c r="B16" s="8" t="s">
        <v>33</v>
      </c>
      <c r="C16" s="8" t="s">
        <v>34</v>
      </c>
      <c r="D16" s="9">
        <v>50</v>
      </c>
      <c r="E16" s="9">
        <v>60</v>
      </c>
      <c r="F16" s="9">
        <v>318060</v>
      </c>
      <c r="G16" s="10">
        <f>D16*F16</f>
        <v>15903000</v>
      </c>
      <c r="H16" s="11">
        <f>IF($G$17=0,0,G16/$G$17)</f>
        <v>2.7992177750240706E-2</v>
      </c>
      <c r="I16" s="12">
        <f>H16*$C$9</f>
        <v>16793.319205524156</v>
      </c>
      <c r="J16" s="12">
        <f>H16*$C$10</f>
        <v>230935.46643948584</v>
      </c>
      <c r="K16" s="10">
        <f>I16+J16</f>
        <v>247728.78564501001</v>
      </c>
      <c r="L16" s="10">
        <f>G16-K16</f>
        <v>15655271.21435499</v>
      </c>
      <c r="M16" s="13">
        <f t="shared" si="0"/>
        <v>313105.4242870998</v>
      </c>
      <c r="N16" s="12">
        <f t="shared" si="0"/>
        <v>5218.4237381183302</v>
      </c>
    </row>
    <row r="17" spans="1:14" ht="15" customHeight="1" x14ac:dyDescent="0.25">
      <c r="A17" s="14"/>
      <c r="B17" s="14"/>
      <c r="C17" s="14" t="s">
        <v>35</v>
      </c>
      <c r="D17" s="15">
        <f>SUM(D13:D16)</f>
        <v>3350</v>
      </c>
      <c r="E17" s="14"/>
      <c r="F17" s="14"/>
      <c r="G17" s="15">
        <f t="shared" ref="G17:L17" si="1">SUM(G13:G16)</f>
        <v>568123000</v>
      </c>
      <c r="H17" s="16">
        <f t="shared" si="1"/>
        <v>0.99999999999999989</v>
      </c>
      <c r="I17" s="13">
        <f t="shared" si="1"/>
        <v>599929</v>
      </c>
      <c r="J17" s="13">
        <f t="shared" si="1"/>
        <v>8250000</v>
      </c>
      <c r="K17" s="15">
        <f t="shared" si="1"/>
        <v>8849929</v>
      </c>
      <c r="L17" s="15">
        <f t="shared" si="1"/>
        <v>559273071</v>
      </c>
      <c r="M17" s="14"/>
      <c r="N17" s="14"/>
    </row>
    <row r="19" spans="1:14" ht="15" customHeight="1" x14ac:dyDescent="0.25">
      <c r="C19" s="2" t="s">
        <v>36</v>
      </c>
      <c r="G19" s="17">
        <f>G17-C9-C10</f>
        <v>559273071</v>
      </c>
    </row>
    <row r="20" spans="1:14" ht="15" customHeight="1" x14ac:dyDescent="0.25">
      <c r="C20" s="2" t="s">
        <v>37</v>
      </c>
      <c r="G20" s="18">
        <v>559273071</v>
      </c>
    </row>
    <row r="21" spans="1:14" ht="15" customHeight="1" x14ac:dyDescent="0.25">
      <c r="C21" s="2" t="s">
        <v>38</v>
      </c>
      <c r="G21" s="17">
        <f>IF(G20="","",G20-G19)</f>
        <v>0</v>
      </c>
    </row>
    <row r="23" spans="1:14" ht="15" customHeight="1" x14ac:dyDescent="0.25">
      <c r="A23" s="2" t="s">
        <v>39</v>
      </c>
    </row>
    <row r="24" spans="1:14" ht="15" customHeight="1" x14ac:dyDescent="0.25">
      <c r="A24" s="19" t="s">
        <v>40</v>
      </c>
    </row>
    <row r="25" spans="1:14" ht="15" customHeight="1" x14ac:dyDescent="0.25">
      <c r="A25" s="19" t="s">
        <v>41</v>
      </c>
    </row>
    <row r="26" spans="1:14" ht="15" customHeight="1" x14ac:dyDescent="0.25">
      <c r="A26" s="19" t="s">
        <v>42</v>
      </c>
    </row>
    <row r="27" spans="1:14" ht="15" customHeight="1" x14ac:dyDescent="0.25">
      <c r="A27" s="19" t="s">
        <v>43</v>
      </c>
    </row>
    <row r="28" spans="1:14" ht="15" customHeight="1" x14ac:dyDescent="0.25">
      <c r="A28" s="19" t="s">
        <v>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Harga Beli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graito1618@gmail.com</cp:lastModifiedBy>
  <cp:revision>0</cp:revision>
  <dcterms:created xsi:type="dcterms:W3CDTF">2026-10-16T03:45:13Z</dcterms:created>
  <dcterms:modified xsi:type="dcterms:W3CDTF">2026-10-16T04:09:09Z</dcterms:modified>
  <dc:language>en-US</dc:language>
</cp:coreProperties>
</file>